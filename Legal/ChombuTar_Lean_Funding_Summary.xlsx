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690cc45084b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n Capital Plan" sheetId="1" r:id="Ra42b308123fd4f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₦&quot;#,##0;[Red](&quot;₦&quot;#,##0);-"/>
    <x:numFmt numFmtId="201" formatCode="0"/>
    <x:numFmt numFmtId="202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43A"/>
      </x:patternFill>
    </x:fill>
    <x:fill>
      <x:patternFill patternType="solid">
        <x:fgColor rgb="FF176B78"/>
      </x:patternFill>
    </x:fill>
    <x:fill>
      <x:patternFill patternType="solid">
        <x:fgColor rgb="FFEAF3F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48d6df9e54eda" /><Relationship Type="http://schemas.openxmlformats.org/officeDocument/2006/relationships/theme" Target="/xl/theme/theme1.xml" Id="R71402906da264fd6" /><Relationship Type="http://schemas.openxmlformats.org/officeDocument/2006/relationships/sharedStrings" Target="/xl/sharedStrings.xml" Id="Ra6f688892ed044dd" /><Relationship Type="http://schemas.openxmlformats.org/officeDocument/2006/relationships/worksheet" Target="/xl/worksheets/sheet1.xml" Id="Ra42b308123fd4f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2" hidden="0" customWidth="1"/>
    <x:col min="3" max="3" width="20" hidden="0" customWidth="1"/>
    <x:col min="4" max="4" width="52" hidden="0" customWidth="1"/>
  </x:cols>
  <x:sheetData>
    <x:row r="1" ht="33" customHeight="1">
      <x:c r="A1" s="3" t="str">
        <x:v>CHOMBUTAR • LEAN STARTUP CAPITAL PLAN</x:v>
      </x:c>
      <x:c r="B1" s="3"/>
      <x:c r="C1" s="3"/>
      <x:c r="D1" s="3"/>
    </x:row>
    <x:row r="2">
      <x:c r="A2" t="str">
        <x:v>Draft · 28 Oct 2026 · editable NGN assumptions · NOT a funding commitment</x:v>
      </x:c>
      <x:c r="B2"/>
      <x:c r="C2"/>
      <x:c r="D2"/>
    </x:row>
    <x:row r="4">
      <x:c r="A4" s="7" t="str">
        <x:v>EXPENSE</x:v>
      </x:c>
      <x:c r="B4" s="7" t="str">
        <x:v>AMOUNT (NGN)</x:v>
      </x:c>
      <x:c r="C4" s="7" t="str">
        <x:v>CLASS</x:v>
      </x:c>
      <x:c r="D4" s="7" t="str">
        <x:v>NOTES</x:v>
      </x:c>
    </x:row>
    <x:row r="5">
      <x:c r="A5" t="str">
        <x:v>Legal CAC IP</x:v>
      </x:c>
      <x:c r="B5" s="26" t="n">
        <x:v>150000</x:v>
      </x:c>
      <x:c r="C5" t="str">
        <x:v>Launch</x:v>
      </x:c>
      <x:c r="D5" s="10" t="str">
        <x:v>Allowance—not a quote</x:v>
      </x:c>
    </x:row>
    <x:row r="6">
      <x:c r="A6" t="str">
        <x:v>Security and QA</x:v>
      </x:c>
      <x:c r="B6" s="26" t="n">
        <x:v>200000</x:v>
      </x:c>
      <x:c r="C6" t="str">
        <x:v>Launch</x:v>
      </x:c>
      <x:c r="D6" s="10" t="str">
        <x:v>Independent release gates</x:v>
      </x:c>
    </x:row>
    <x:row r="7">
      <x:c r="A7" t="str">
        <x:v>Live startup setup</x:v>
      </x:c>
      <x:c r="B7" s="26" t="n">
        <x:v>100000</x:v>
      </x:c>
      <x:c r="C7" t="str">
        <x:v>Launch</x:v>
      </x:c>
      <x:c r="D7" s="10" t="str">
        <x:v>TURN and remote test</x:v>
      </x:c>
    </x:row>
    <x:row r="8">
      <x:c r="A8" t="str">
        <x:v>Ambassador beta</x:v>
      </x:c>
      <x:c r="B8" s="26" t="n">
        <x:v>200000</x:v>
      </x:c>
      <x:c r="C8" t="str">
        <x:v>Launch</x:v>
      </x:c>
      <x:c r="D8" s="10" t="str">
        <x:v>Signed agreements</x:v>
      </x:c>
    </x:row>
    <x:row r="9">
      <x:c r="A9" t="str">
        <x:v>Brand/domain/setup</x:v>
      </x:c>
      <x:c r="B9" s="26" t="n">
        <x:v>150000</x:v>
      </x:c>
      <x:c r="C9" t="str">
        <x:v>Launch</x:v>
      </x:c>
      <x:c r="D9" s="10" t="str">
        <x:v>No paid ad scale</x:v>
      </x:c>
    </x:row>
    <x:row r="10">
      <x:c r="A10" s="14" t="str">
        <x:v>TOTAL LAUNCH</x:v>
      </x:c>
      <x:c r="B10" s="15" t="n">
        <x:f>SUM(B5:B9)</x:f>
        <x:v>800000</x:v>
      </x:c>
      <x:c r="C10" s="14" t="str">
        <x:v>Computed</x:v>
      </x:c>
      <x:c r="D10" s="16" t="str">
        <x:v>Sum of launch allocation</x:v>
      </x:c>
    </x:row>
    <x:row r="11">
      <x:c r="A11" t="str">
        <x:v>Vercel + APIs</x:v>
      </x:c>
      <x:c r="B11" s="26" t="n">
        <x:v>27000</x:v>
      </x:c>
      <x:c r="C11" t="str">
        <x:v>Monthly</x:v>
      </x:c>
      <x:c r="D11" s="10" t="str">
        <x:v>Pro/usage can exceed</x:v>
      </x:c>
    </x:row>
    <x:row r="12">
      <x:c r="A12" t="str">
        <x:v>Neon</x:v>
      </x:c>
      <x:c r="B12" s="26" t="n">
        <x:v>15000</x:v>
      </x:c>
      <x:c r="C12" t="str">
        <x:v>Monthly</x:v>
      </x:c>
      <x:c r="D12" s="10" t="str">
        <x:v>Usage may exceed</x:v>
      </x:c>
    </x:row>
    <x:row r="13">
      <x:c r="A13" t="str">
        <x:v>Cloudinary/media</x:v>
      </x:c>
      <x:c r="B13" s="26" t="n">
        <x:v>27000</x:v>
      </x:c>
      <x:c r="C13" t="str">
        <x:v>Monthly</x:v>
      </x:c>
      <x:c r="D13" s="10" t="str">
        <x:v>Lean quota assumption</x:v>
      </x:c>
    </x:row>
    <x:row r="14">
      <x:c r="A14" t="str">
        <x:v>Live server / TURN</x:v>
      </x:c>
      <x:c r="B14" s="26" t="n">
        <x:v>60000</x:v>
      </x:c>
      <x:c r="C14" t="str">
        <x:v>Monthly</x:v>
      </x:c>
      <x:c r="D14" s="10" t="str">
        <x:v>Limit concurrency</x:v>
      </x:c>
    </x:row>
    <x:row r="15">
      <x:c r="A15" t="str">
        <x:v>Bandwidth reserve</x:v>
      </x:c>
      <x:c r="B15" s="26" t="n">
        <x:v>31000</x:v>
      </x:c>
      <x:c r="C15" t="str">
        <x:v>Monthly</x:v>
      </x:c>
      <x:c r="D15" s="10" t="str">
        <x:v>Hard spend alerts</x:v>
      </x:c>
    </x:row>
    <x:row r="16">
      <x:c r="A16" t="str">
        <x:v>Silabs maintenance</x:v>
      </x:c>
      <x:c r="B16" s="26" t="n">
        <x:v>120000</x:v>
      </x:c>
      <x:c r="C16" t="str">
        <x:v>Monthly</x:v>
      </x:c>
      <x:c r="D16" s="10" t="str">
        <x:v>Requires separate signed SLA</x:v>
      </x:c>
    </x:row>
    <x:row r="17">
      <x:c r="A17" t="str">
        <x:v>Support/moderation</x:v>
      </x:c>
      <x:c r="B17" s="26" t="n">
        <x:v>80000</x:v>
      </x:c>
      <x:c r="C17" t="str">
        <x:v>Monthly</x:v>
      </x:c>
      <x:c r="D17" s="10" t="str">
        <x:v>Trust &amp; safety</x:v>
      </x:c>
    </x:row>
    <x:row r="18">
      <x:c r="A18" t="str">
        <x:v>Acquisition ads</x:v>
      </x:c>
      <x:c r="B18" s="26" t="n">
        <x:v>75000</x:v>
      </x:c>
      <x:c r="C18" t="str">
        <x:v>Monthly</x:v>
      </x:c>
      <x:c r="D18" s="10" t="str">
        <x:v>Testing only</x:v>
      </x:c>
    </x:row>
    <x:row r="19">
      <x:c r="A19" t="str">
        <x:v>Accounting/legal admin</x:v>
      </x:c>
      <x:c r="B19" s="26" t="n">
        <x:v>50000</x:v>
      </x:c>
      <x:c r="C19" t="str">
        <x:v>Monthly</x:v>
      </x:c>
      <x:c r="D19" s="10" t="str">
        <x:v>Monthly control</x:v>
      </x:c>
    </x:row>
    <x:row r="20">
      <x:c r="A20" s="14" t="str">
        <x:v>TOTAL MONTHLY</x:v>
      </x:c>
      <x:c r="B20" s="15" t="n">
        <x:f>SUM(B11:B19)</x:f>
        <x:v>485000</x:v>
      </x:c>
      <x:c r="C20" s="14" t="str">
        <x:v>Computed</x:v>
      </x:c>
      <x:c r="D20" s="16" t="str">
        <x:v>Sum of monthly categories</x:v>
      </x:c>
    </x:row>
    <x:row r="21">
      <x:c r="A21" t="str">
        <x:v>Runway months</x:v>
      </x:c>
      <x:c r="B21" s="28" t="n">
        <x:v>6</x:v>
      </x:c>
      <x:c r="C21" t="str">
        <x:v>Input</x:v>
      </x:c>
      <x:c r="D21" s="10" t="str">
        <x:v>User decision</x:v>
      </x:c>
    </x:row>
    <x:row r="22">
      <x:c r="A22" t="str">
        <x:v>6-month operations</x:v>
      </x:c>
      <x:c r="B22" s="12" t="n">
        <x:f>B20*B21</x:f>
        <x:v>2910000</x:v>
      </x:c>
      <x:c r="C22" t="str">
        <x:v>Computed</x:v>
      </x:c>
      <x:c r="D22" s="10" t="str">
        <x:v>Monthly × months</x:v>
      </x:c>
    </x:row>
    <x:row r="23">
      <x:c r="A23" t="str">
        <x:v>Pre-contingency cash need</x:v>
      </x:c>
      <x:c r="B23" s="12" t="n">
        <x:f>B10+B22</x:f>
        <x:v>3710000</x:v>
      </x:c>
      <x:c r="C23" t="str">
        <x:v>Computed</x:v>
      </x:c>
      <x:c r="D23" s="10" t="str">
        <x:v>Launch + 6 months</x:v>
      </x:c>
    </x:row>
    <x:row r="24">
      <x:c r="A24" t="str">
        <x:v>Contingency ratio</x:v>
      </x:c>
      <x:c r="B24" s="30" t="n">
        <x:v>0.2</x:v>
      </x:c>
      <x:c r="C24" t="str">
        <x:v>Input</x:v>
      </x:c>
      <x:c r="D24" s="10" t="str">
        <x:v>Planning assumption</x:v>
      </x:c>
    </x:row>
    <x:row r="25">
      <x:c r="A25" t="str">
        <x:v>Contingency amount</x:v>
      </x:c>
      <x:c r="B25" s="12" t="n">
        <x:f>B23*B24</x:f>
        <x:v>742000</x:v>
      </x:c>
      <x:c r="C25" t="str">
        <x:v>Computed</x:v>
      </x:c>
      <x:c r="D25" s="10" t="str">
        <x:v>20% of pre-contingency</x:v>
      </x:c>
    </x:row>
    <x:row r="26">
      <x:c r="A26" s="14" t="str">
        <x:v>TOTAL REQUIRED</x:v>
      </x:c>
      <x:c r="B26" s="15" t="n">
        <x:f>SUM(B23,B25)</x:f>
        <x:v>4452000</x:v>
      </x:c>
      <x:c r="C26" s="14" t="str">
        <x:v>Computed</x:v>
      </x:c>
      <x:c r="D26" s="16" t="str">
        <x:v>Funding need before revenue</x:v>
      </x:c>
    </x:row>
    <x:row r="27">
      <x:c r="A27" t="str">
        <x:v>Provisional target</x:v>
      </x:c>
      <x:c r="B27" s="26" t="n">
        <x:v>5000000</x:v>
      </x:c>
      <x:c r="C27" t="str">
        <x:v>Input</x:v>
      </x:c>
      <x:c r="D27" s="10" t="str">
        <x:v>NOT yet committed</x:v>
      </x:c>
    </x:row>
    <x:row r="28">
      <x:c r="A28" s="14" t="str">
        <x:v>Buffer above requirement</x:v>
      </x:c>
      <x:c r="B28" s="15" t="n">
        <x:f>B27-B26</x:f>
        <x:v>548000</x:v>
      </x:c>
      <x:c r="C28" s="14" t="str">
        <x:v>Computed</x:v>
      </x:c>
      <x:c r="D28" s="16" t="str">
        <x:v>Target - requirement</x:v>
      </x:c>
    </x:row>
    <x:row r="29">
      <x:c r="A29" t="str">
        <x:v>Mathias cash stated</x:v>
      </x:c>
      <x:c r="B29" s="26" t="n">
        <x:v>100000</x:v>
      </x:c>
      <x:c r="C29" t="str">
        <x:v>Evidence required</x:v>
      </x:c>
      <x:c r="D29" s="10" t="str">
        <x:v>Receipts pending</x:v>
      </x:c>
    </x:row>
    <x:row r="30">
      <x:c r="A30" t="str">
        <x:v>Silabs hours model</x:v>
      </x:c>
      <x:c r="B30" s="28" t="n">
        <x:v>1200</x:v>
      </x:c>
      <x:c r="C30" t="str">
        <x:v>Scenario</x:v>
      </x:c>
      <x:c r="D30" s="10" t="str">
        <x:v>NOT actual measured hours</x:v>
      </x:c>
    </x:row>
    <x:row r="31">
      <x:c r="A31" t="str">
        <x:v>Silabs labor rate</x:v>
      </x:c>
      <x:c r="B31" s="26" t="n">
        <x:v>5000</x:v>
      </x:c>
      <x:c r="C31" t="str">
        <x:v>Scenario</x:v>
      </x:c>
      <x:c r="D31" s="10" t="str">
        <x:v>NGN/hour; benchmark only</x:v>
      </x:c>
    </x:row>
    <x:row r="32">
      <x:c r="A32" s="14" t="str">
        <x:v>Replacement benchmark</x:v>
      </x:c>
      <x:c r="B32" s="15" t="n">
        <x:f>B30*B31</x:f>
        <x:v>6000000</x:v>
      </x:c>
      <x:c r="C32" s="14" t="str">
        <x:v>Computed</x:v>
      </x:c>
      <x:c r="D32" s="16" t="str">
        <x:v>NOT assessed equity rights</x:v>
      </x:c>
    </x:row>
    <x:row r="33">
      <x:c r="A33" t="str">
        <x:v>Dr Butu committed cash</x:v>
      </x:c>
      <x:c r="B33" s="26" t="n">
        <x:v>0</x:v>
      </x:c>
      <x:c r="C33" t="str">
        <x:v>Confirmed status</x:v>
      </x:c>
      <x:c r="D33" s="10" t="str">
        <x:v>None paid / committed</x:v>
      </x:c>
    </x:row>
    <x:row r="34">
      <x:c r="A34" t="str">
        <x:v>Average job value</x:v>
      </x:c>
      <x:c r="B34" s="26" t="n">
        <x:v>50000</x:v>
      </x:c>
      <x:c r="C34" t="str">
        <x:v>Scenario</x:v>
      </x:c>
      <x:c r="D34" s="10" t="str">
        <x:v>Unknown actual median</x:v>
      </x:c>
    </x:row>
    <x:row r="35">
      <x:c r="A35" t="str">
        <x:v>Commission A rate</x:v>
      </x:c>
      <x:c r="B35" s="30" t="n">
        <x:v>0.08</x:v>
      </x:c>
      <x:c r="C35" t="str">
        <x:v>Scenario</x:v>
      </x:c>
      <x:c r="D35" s="10" t="str">
        <x:v>Not decided</x:v>
      </x:c>
    </x:row>
    <x:row r="36">
      <x:c r="A36" t="str">
        <x:v>Commission A gross</x:v>
      </x:c>
      <x:c r="B36" s="12" t="n">
        <x:f>B34*B35</x:f>
        <x:v>4000</x:v>
      </x:c>
      <x:c r="C36" t="str">
        <x:v>Computed</x:v>
      </x:c>
      <x:c r="D36" s="10" t="str">
        <x:v>Amount of hypothetical completed job</x:v>
      </x:c>
    </x:row>
    <x:row r="37">
      <x:c r="A37" t="str">
        <x:v>Paystack local collection fee</x:v>
      </x:c>
      <x:c r="B37" s="12" t="n">
        <x:f>MIN(2000,B34*1.5%+IF(B34&lt;2500,0,100))</x:f>
        <x:v>850</x:v>
      </x:c>
      <x:c r="C37" t="str">
        <x:v>Scenario</x:v>
      </x:c>
      <x:c r="D37" s="10" t="str">
        <x:v>Standard 1.5% +100 capped 2000</x:v>
      </x:c>
    </x:row>
    <x:row r="38">
      <x:c r="A38" t="str">
        <x:v>Two payout transfers</x:v>
      </x:c>
      <x:c r="B38" s="26" t="n">
        <x:v>50</x:v>
      </x:c>
      <x:c r="C38" t="str">
        <x:v>Scenario</x:v>
      </x:c>
      <x:c r="D38" s="10" t="str">
        <x:v>25 × 2; may differ</x:v>
      </x:c>
    </x:row>
    <x:row r="39">
      <x:c r="A39" s="14" t="str">
        <x:v>Commission A net before other costs</x:v>
      </x:c>
      <x:c r="B39" s="15" t="n">
        <x:f>B36-B37-B38</x:f>
        <x:v>3100</x:v>
      </x:c>
      <x:c r="C39" s="14" t="str">
        <x:v>Computed</x:v>
      </x:c>
      <x:c r="D39" s="16" t="str">
        <x:v>Not profit</x:v>
      </x:c>
    </x:row>
    <x:row r="40">
      <x:c r="A40" s="14" t="str">
        <x:v>Break-even jobs per month</x:v>
      </x:c>
      <x:c r="B40" s="24" t="n">
        <x:f>IF(B39&gt;0,ROUNDUP(B20/B39,0),0)</x:f>
        <x:v>157</x:v>
      </x:c>
      <x:c r="C40" s="14" t="str">
        <x:v>Computed</x:v>
      </x:c>
      <x:c r="D40" s="16" t="str">
        <x:v>Fixed opex / per-job contribution</x:v>
      </x:c>
    </x:row>
    <x:row r="41">
      <x:c r="B41" s="12"/>
      <x:c r="D41" s="10"/>
    </x:row>
  </x:sheetData>
  <x:mergeCells>
    <x:mergeCell ref="A1:D1"/>
  </x:mergeCells>
  <x:pageMargins left="0.7" right="0.7" top="0.75" bottom="0.75" header="0.3" footer="0.3"/>
</x:worksheet>
</file>